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Vehicles" sheetId="1" r:id="rId1"/>
    <sheet name="Weights" sheetId="2" r:id="rId2"/>
    <sheet name="Sheet1" sheetId="3" r:id="rId3"/>
  </sheets>
  <calcPr calcId="124519"/>
</workbook>
</file>

<file path=xl/calcChain.xml><?xml version="1.0" encoding="utf-8"?>
<calcChain xmlns="http://schemas.openxmlformats.org/spreadsheetml/2006/main">
  <c r="C1" i="1"/>
  <c r="F31"/>
  <c r="E8"/>
  <c r="F8" s="1"/>
  <c r="E11"/>
  <c r="F11" s="1"/>
  <c r="E18"/>
  <c r="F18" s="1"/>
  <c r="E4"/>
  <c r="F4" s="1"/>
  <c r="E24"/>
  <c r="F24" s="1"/>
  <c r="E25"/>
  <c r="F25" s="1"/>
  <c r="E26"/>
  <c r="F26" s="1"/>
  <c r="E27"/>
  <c r="F27" s="1"/>
  <c r="E28"/>
  <c r="F28" s="1"/>
  <c r="E29"/>
  <c r="F29" s="1"/>
  <c r="E30"/>
  <c r="F30" s="1"/>
  <c r="E31"/>
  <c r="E32"/>
  <c r="F32" s="1"/>
  <c r="E33"/>
  <c r="F33" s="1"/>
  <c r="E34"/>
  <c r="F34" s="1"/>
  <c r="E35"/>
  <c r="F35" s="1"/>
  <c r="E36"/>
  <c r="F36" s="1"/>
  <c r="E37"/>
  <c r="F37" s="1"/>
  <c r="E38"/>
  <c r="F38" s="1"/>
  <c r="E39"/>
  <c r="F39" s="1"/>
  <c r="E6"/>
  <c r="F6" s="1"/>
  <c r="E7"/>
  <c r="F7" s="1"/>
  <c r="E9"/>
  <c r="F9" s="1"/>
  <c r="E16"/>
  <c r="F16" s="1"/>
  <c r="E12"/>
  <c r="F12" s="1"/>
  <c r="E13"/>
  <c r="F13" s="1"/>
  <c r="E15"/>
  <c r="F15" s="1"/>
  <c r="E14"/>
  <c r="F14" s="1"/>
  <c r="E10"/>
  <c r="F10" s="1"/>
  <c r="E17"/>
  <c r="F17" s="1"/>
  <c r="E19"/>
  <c r="F19" s="1"/>
  <c r="E20"/>
  <c r="F20" s="1"/>
  <c r="E22"/>
  <c r="F22" s="1"/>
  <c r="E21"/>
  <c r="F21" s="1"/>
  <c r="E23"/>
  <c r="F23" s="1"/>
  <c r="E5"/>
  <c r="F5" s="1"/>
  <c r="G8"/>
  <c r="G11"/>
  <c r="G18"/>
  <c r="G4"/>
  <c r="G24"/>
  <c r="G25"/>
  <c r="G21"/>
  <c r="G26"/>
  <c r="G27"/>
  <c r="G28"/>
  <c r="G29"/>
  <c r="G30"/>
  <c r="G31"/>
  <c r="G33"/>
  <c r="G35"/>
  <c r="G36"/>
  <c r="G37"/>
  <c r="G38"/>
  <c r="G39"/>
  <c r="G32"/>
  <c r="G34"/>
  <c r="G17"/>
  <c r="G12"/>
  <c r="G16"/>
  <c r="G13"/>
  <c r="G14"/>
  <c r="G15"/>
  <c r="G7"/>
  <c r="G10"/>
  <c r="G6"/>
  <c r="G20"/>
  <c r="G22"/>
  <c r="G9"/>
  <c r="G23"/>
  <c r="G5"/>
  <c r="G19"/>
</calcChain>
</file>

<file path=xl/sharedStrings.xml><?xml version="1.0" encoding="utf-8"?>
<sst xmlns="http://schemas.openxmlformats.org/spreadsheetml/2006/main" count="148" uniqueCount="72">
  <si>
    <t>Type</t>
  </si>
  <si>
    <t>Name</t>
  </si>
  <si>
    <t>Police</t>
  </si>
  <si>
    <t>AU NSW Ford Ranger</t>
  </si>
  <si>
    <t>AU NSW Ford Hilux</t>
  </si>
  <si>
    <t>AU Mercedes Benz Sprinter</t>
  </si>
  <si>
    <t>AU Scania P320 Class 3 Pumper</t>
  </si>
  <si>
    <t>AU VIC Holden Colorado</t>
  </si>
  <si>
    <t>AU VIC Holden Commodore Ute</t>
  </si>
  <si>
    <t>AU NSW HWP Ford Falcon</t>
  </si>
  <si>
    <t>AU QLD BMW R1250 RT-P</t>
  </si>
  <si>
    <t>AFP Toyota Land Cruiser 70S</t>
  </si>
  <si>
    <t>AU TAS Bearcat</t>
  </si>
  <si>
    <t>Medical</t>
  </si>
  <si>
    <t>Fire</t>
  </si>
  <si>
    <t>Visbility</t>
  </si>
  <si>
    <t>Armour</t>
  </si>
  <si>
    <t>Acceleration</t>
  </si>
  <si>
    <t>immobilizedBy</t>
  </si>
  <si>
    <t>None</t>
  </si>
  <si>
    <t>Traffic Mod</t>
  </si>
  <si>
    <t>Offroad Mod</t>
  </si>
  <si>
    <t>Upkeep</t>
  </si>
  <si>
    <t>Terrain</t>
  </si>
  <si>
    <t>Road</t>
  </si>
  <si>
    <t>Water Cap</t>
  </si>
  <si>
    <t>Chase Eff</t>
  </si>
  <si>
    <t>Rain=7,Snow=5</t>
  </si>
  <si>
    <t>P. Seats</t>
  </si>
  <si>
    <t>T. Seats</t>
  </si>
  <si>
    <t>Wind=15</t>
  </si>
  <si>
    <t>Air</t>
  </si>
  <si>
    <t>Stock Firetruck</t>
  </si>
  <si>
    <t>Stock Med Van</t>
  </si>
  <si>
    <t>Stock Police Car</t>
  </si>
  <si>
    <t>Stock Police Helicopter</t>
  </si>
  <si>
    <t>Stock Police Motobike</t>
  </si>
  <si>
    <t>AU VIC BMW530d HWP</t>
  </si>
  <si>
    <t>AU NT ToyotaLCGX HWP</t>
  </si>
  <si>
    <t>AU NSW FJR1300AE</t>
  </si>
  <si>
    <t>AU SA Iveco SB50 Bus</t>
  </si>
  <si>
    <t>AU NSW SO Ops Commander</t>
  </si>
  <si>
    <t>AUD Cost</t>
  </si>
  <si>
    <t>Balance</t>
  </si>
  <si>
    <t>Stock Swat Truck</t>
  </si>
  <si>
    <t>XML Cost</t>
  </si>
  <si>
    <t>Tally</t>
  </si>
  <si>
    <t>Speed</t>
  </si>
  <si>
    <t>INJURED=0.5</t>
  </si>
  <si>
    <t>SEARCH=0.50,INJURED=0.1</t>
  </si>
  <si>
    <t>FIRE=0.7, TALL=0.1</t>
  </si>
  <si>
    <t>FIRE=0.5</t>
  </si>
  <si>
    <t>Other Bonuses +%</t>
  </si>
  <si>
    <t>Weighted from Stats, Lower is Better, Does not factor Other Bonuses</t>
  </si>
  <si>
    <t>SEARCH=1.00</t>
  </si>
  <si>
    <t>SEARCH=0.25</t>
  </si>
  <si>
    <t xml:space="preserve">AU Undercover Honda Civic </t>
  </si>
  <si>
    <t>SEARCH=0.30,INJURED=0.05</t>
  </si>
  <si>
    <t>Water</t>
  </si>
  <si>
    <t>INJURED=0.75</t>
  </si>
  <si>
    <t>SEARCH=0.50,INJURED=0.25</t>
  </si>
  <si>
    <t>AU ACT Rosenbauer Hybrid-Electric</t>
  </si>
  <si>
    <t>Bonuses</t>
  </si>
  <si>
    <t>SEARCH,</t>
  </si>
  <si>
    <t>STUN</t>
  </si>
  <si>
    <t>DYING</t>
  </si>
  <si>
    <t>TALL</t>
  </si>
  <si>
    <t>TECH</t>
  </si>
  <si>
    <t>FIRE</t>
  </si>
  <si>
    <t>INJURED</t>
  </si>
  <si>
    <t>FIRE=0.5,TECH=0.25,INJURED=0.15</t>
  </si>
  <si>
    <t>AU SA Tatra Force T815-7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</si>
</sst>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/>
    <xf numFmtId="0" fontId="1" fillId="0" borderId="0" xfId="0" applyFont="1"/>
    <xf numFmtId="164" fontId="1" fillId="0" borderId="0" xfId="0" applyNumberFormat="1" applyFont="1"/>
    <xf numFmtId="2" fontId="1" fillId="0" borderId="0" xfId="0" applyNumberFormat="1" applyFont="1"/>
    <xf numFmtId="0" fontId="1" fillId="0" borderId="0" xfId="0" applyFon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0" fontId="0" fillId="0" borderId="0" xfId="0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1" fillId="3" borderId="0" xfId="0" applyFont="1" applyFill="1"/>
    <xf numFmtId="0" fontId="1" fillId="3" borderId="0" xfId="0" applyFont="1" applyFill="1" applyAlignment="1">
      <alignment horizontal="right"/>
    </xf>
    <xf numFmtId="0" fontId="1" fillId="4" borderId="0" xfId="0" applyFont="1" applyFill="1"/>
    <xf numFmtId="0" fontId="1" fillId="4" borderId="0" xfId="0" applyFont="1" applyFill="1" applyAlignment="1">
      <alignment horizontal="right"/>
    </xf>
    <xf numFmtId="0" fontId="1" fillId="0" borderId="0" xfId="0" applyFont="1" applyFill="1"/>
    <xf numFmtId="164" fontId="1" fillId="0" borderId="0" xfId="0" applyNumberFormat="1" applyFont="1" applyFill="1"/>
    <xf numFmtId="2" fontId="1" fillId="0" borderId="0" xfId="0" applyNumberFormat="1" applyFont="1" applyFill="1"/>
    <xf numFmtId="0" fontId="1" fillId="0" borderId="0" xfId="0" applyFont="1" applyFill="1" applyAlignment="1">
      <alignment horizontal="right"/>
    </xf>
    <xf numFmtId="2" fontId="2" fillId="0" borderId="0" xfId="0" applyNumberFormat="1" applyFont="1" applyFill="1" applyAlignment="1">
      <alignment horizontal="right"/>
    </xf>
    <xf numFmtId="2" fontId="1" fillId="0" borderId="0" xfId="0" applyNumberFormat="1" applyFont="1" applyFill="1" applyAlignment="1">
      <alignment horizontal="right"/>
    </xf>
    <xf numFmtId="0" fontId="0" fillId="0" borderId="0" xfId="0" applyBorder="1"/>
    <xf numFmtId="2" fontId="0" fillId="0" borderId="0" xfId="0" applyNumberFormat="1" applyBorder="1"/>
    <xf numFmtId="0" fontId="0" fillId="0" borderId="0" xfId="0" applyBorder="1" applyAlignment="1">
      <alignment horizontal="right"/>
    </xf>
    <xf numFmtId="164" fontId="0" fillId="0" borderId="0" xfId="0" applyNumberFormat="1" applyFill="1" applyAlignment="1">
      <alignment horizontal="right"/>
    </xf>
    <xf numFmtId="164" fontId="2" fillId="0" borderId="0" xfId="0" applyNumberFormat="1" applyFont="1"/>
    <xf numFmtId="164" fontId="1" fillId="0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3" fillId="0" borderId="0" xfId="0" applyFont="1"/>
    <xf numFmtId="0" fontId="0" fillId="5" borderId="0" xfId="0" applyFill="1"/>
  </cellXfs>
  <cellStyles count="1">
    <cellStyle name="Normal" xfId="0" builtinId="0"/>
  </cellStyles>
  <dxfs count="15">
    <dxf>
      <alignment horizontal="right" vertical="bottom" textRotation="0" wrapText="0" indent="0" relativeIndent="255" justifyLastLine="0" shrinkToFit="0" mergeCell="0" readingOrder="0"/>
    </dxf>
    <dxf>
      <alignment horizontal="right" vertical="bottom" textRotation="0" wrapText="0" indent="0" relativeIndent="255" justifyLastLine="0" shrinkToFit="0" mergeCell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right" vertical="bottom" textRotation="0" wrapText="0" indent="0" relativeIndent="255" justifyLastLine="0" shrinkToFit="0" mergeCell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4" formatCode="&quot;$&quot;#,##0.00"/>
      <alignment horizontal="right" vertical="bottom" textRotation="0" wrapText="0" indent="0" relativeIndent="255" justifyLastLine="0" shrinkToFit="0" mergeCell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&quot;$&quot;#,##0.00"/>
      <alignment horizontal="right" vertical="bottom" textRotation="0" wrapText="0" indent="0" relativeIndent="255" justifyLastLine="0" shrinkToFit="0" mergeCell="0" readingOrder="0"/>
    </dxf>
    <dxf>
      <numFmt numFmtId="164" formatCode="&quot;$&quot;#,##0.00"/>
      <fill>
        <patternFill patternType="none">
          <fgColor indexed="64"/>
          <bgColor indexed="65"/>
        </patternFill>
      </fill>
    </dxf>
    <dxf>
      <numFmt numFmtId="164" formatCode="&quot;$&quot;#,##0.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B3:T39" totalsRowShown="0">
  <autoFilter ref="B3:T39">
    <filterColumn colId="2"/>
    <filterColumn colId="4"/>
    <filterColumn colId="5"/>
    <filterColumn colId="8"/>
    <filterColumn colId="18"/>
  </autoFilter>
  <sortState ref="B4:T39">
    <sortCondition ref="F3:F39"/>
  </sortState>
  <tableColumns count="19">
    <tableColumn id="1" name="Type"/>
    <tableColumn id="2" name="Name"/>
    <tableColumn id="17" name="AUD Cost" dataDxfId="14"/>
    <tableColumn id="3" name="XML Cost" dataDxfId="13"/>
    <tableColumn id="22" name="Balance" dataDxfId="12">
      <calculatedColumnFormula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calculatedColumnFormula>
    </tableColumn>
    <tableColumn id="23" name="Upkeep" dataDxfId="11">
      <calculatedColumnFormula>Table1[[#This Row],[AUD Cost]]/100</calculatedColumnFormula>
    </tableColumn>
    <tableColumn id="4" name="Visbility" dataDxfId="10"/>
    <tableColumn id="5" name="Armour" dataDxfId="9"/>
    <tableColumn id="19" name="Water" dataDxfId="8"/>
    <tableColumn id="6" name="Speed"/>
    <tableColumn id="7" name="Acceleration" dataDxfId="7"/>
    <tableColumn id="8" name="immobilizedBy" dataDxfId="6"/>
    <tableColumn id="9" name="Offroad Mod" dataDxfId="5"/>
    <tableColumn id="10" name="Traffic Mod" dataDxfId="4"/>
    <tableColumn id="11" name="T. Seats" dataDxfId="3"/>
    <tableColumn id="12" name="P. Seats" dataDxfId="2"/>
    <tableColumn id="14" name="Terrain" dataDxfId="1"/>
    <tableColumn id="15" name="Chase Eff"/>
    <tableColumn id="20" name="Other Bonuses +%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T39"/>
  <sheetViews>
    <sheetView tabSelected="1" workbookViewId="0">
      <selection activeCell="L29" sqref="L29"/>
    </sheetView>
  </sheetViews>
  <sheetFormatPr defaultRowHeight="15"/>
  <cols>
    <col min="1" max="1" width="1.28515625" customWidth="1"/>
    <col min="2" max="2" width="9.5703125" customWidth="1"/>
    <col min="3" max="3" width="34.85546875" customWidth="1"/>
    <col min="4" max="5" width="12.5703125" customWidth="1"/>
    <col min="6" max="6" width="9.85546875" customWidth="1"/>
    <col min="7" max="7" width="10.5703125" customWidth="1"/>
    <col min="8" max="8" width="10.42578125" customWidth="1"/>
    <col min="9" max="9" width="9.85546875" customWidth="1"/>
    <col min="10" max="10" width="9.140625" customWidth="1"/>
    <col min="11" max="11" width="8.7109375" customWidth="1"/>
    <col min="12" max="12" width="14.140625" customWidth="1"/>
    <col min="13" max="13" width="15.140625" customWidth="1"/>
    <col min="14" max="14" width="14.5703125" customWidth="1"/>
    <col min="15" max="15" width="13.140625" customWidth="1"/>
    <col min="16" max="16" width="9.7109375" customWidth="1"/>
    <col min="17" max="17" width="10.140625" customWidth="1"/>
    <col min="18" max="18" width="9.5703125" customWidth="1"/>
    <col min="19" max="19" width="11.28515625" customWidth="1"/>
    <col min="20" max="20" width="35" customWidth="1"/>
  </cols>
  <sheetData>
    <row r="1" spans="2:20">
      <c r="B1" t="s">
        <v>46</v>
      </c>
      <c r="C1">
        <f>COUNTA(Table1[Name])-6</f>
        <v>18</v>
      </c>
    </row>
    <row r="2" spans="2:20">
      <c r="G2" t="s">
        <v>53</v>
      </c>
    </row>
    <row r="3" spans="2:20">
      <c r="B3" t="s">
        <v>0</v>
      </c>
      <c r="C3" t="s">
        <v>1</v>
      </c>
      <c r="D3" t="s">
        <v>42</v>
      </c>
      <c r="E3" t="s">
        <v>45</v>
      </c>
      <c r="F3" t="s">
        <v>43</v>
      </c>
      <c r="G3" t="s">
        <v>22</v>
      </c>
      <c r="H3" t="s">
        <v>15</v>
      </c>
      <c r="I3" t="s">
        <v>16</v>
      </c>
      <c r="J3" t="s">
        <v>58</v>
      </c>
      <c r="K3" t="s">
        <v>47</v>
      </c>
      <c r="L3" t="s">
        <v>17</v>
      </c>
      <c r="M3" t="s">
        <v>18</v>
      </c>
      <c r="N3" t="s">
        <v>21</v>
      </c>
      <c r="O3" t="s">
        <v>20</v>
      </c>
      <c r="P3" t="s">
        <v>29</v>
      </c>
      <c r="Q3" t="s">
        <v>28</v>
      </c>
      <c r="R3" t="s">
        <v>23</v>
      </c>
      <c r="S3" t="s">
        <v>26</v>
      </c>
      <c r="T3" t="s">
        <v>52</v>
      </c>
    </row>
    <row r="4" spans="2:20">
      <c r="B4" s="15" t="s">
        <v>13</v>
      </c>
      <c r="C4" t="s">
        <v>39</v>
      </c>
      <c r="D4" s="12">
        <v>34930</v>
      </c>
      <c r="E4" s="33">
        <f>Table1[[#This Row],[AUD Cost]]/1.75</f>
        <v>19960</v>
      </c>
      <c r="F4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0.40323232323232328</v>
      </c>
      <c r="G4" s="32">
        <f>Table1[[#This Row],[AUD Cost]]/100</f>
        <v>349.3</v>
      </c>
      <c r="H4" s="2">
        <v>0.6</v>
      </c>
      <c r="I4" s="2">
        <v>0</v>
      </c>
      <c r="J4" s="2">
        <v>0</v>
      </c>
      <c r="K4">
        <v>180</v>
      </c>
      <c r="L4" s="2">
        <v>6</v>
      </c>
      <c r="M4" s="1" t="s">
        <v>27</v>
      </c>
      <c r="N4" s="2">
        <v>0.25</v>
      </c>
      <c r="O4" s="2">
        <v>0.5</v>
      </c>
      <c r="P4" s="2">
        <v>2</v>
      </c>
      <c r="Q4" s="2">
        <v>0</v>
      </c>
      <c r="R4" s="1" t="s">
        <v>24</v>
      </c>
      <c r="S4">
        <v>0</v>
      </c>
      <c r="T4" s="16"/>
    </row>
    <row r="5" spans="2:20">
      <c r="B5" s="19" t="s">
        <v>2</v>
      </c>
      <c r="C5" s="3" t="s">
        <v>36</v>
      </c>
      <c r="D5" s="12">
        <v>35000</v>
      </c>
      <c r="E5" s="4">
        <f>Table1[[#This Row],[AUD Cost]]/1.75</f>
        <v>20000</v>
      </c>
      <c r="F5" s="28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0.41237113402061859</v>
      </c>
      <c r="G5" s="32">
        <f>Table1[[#This Row],[AUD Cost]]/100</f>
        <v>350</v>
      </c>
      <c r="H5" s="5">
        <v>1</v>
      </c>
      <c r="I5" s="5">
        <v>0</v>
      </c>
      <c r="J5" s="5">
        <v>0</v>
      </c>
      <c r="K5" s="3">
        <v>180</v>
      </c>
      <c r="L5" s="5">
        <v>5</v>
      </c>
      <c r="M5" s="26" t="s">
        <v>27</v>
      </c>
      <c r="N5" s="5">
        <v>0.25</v>
      </c>
      <c r="O5" s="5">
        <v>0.5</v>
      </c>
      <c r="P5" s="5">
        <v>2</v>
      </c>
      <c r="Q5" s="5">
        <v>0</v>
      </c>
      <c r="R5" s="6" t="s">
        <v>24</v>
      </c>
      <c r="S5" s="3">
        <v>20</v>
      </c>
      <c r="T5" s="20"/>
    </row>
    <row r="6" spans="2:20">
      <c r="B6" s="9" t="s">
        <v>2</v>
      </c>
      <c r="C6" s="11" t="s">
        <v>10</v>
      </c>
      <c r="D6" s="12">
        <v>38325</v>
      </c>
      <c r="E6" s="33">
        <f>Table1[[#This Row],[AUD Cost]]/1.75</f>
        <v>21900</v>
      </c>
      <c r="F6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0.51529411764705879</v>
      </c>
      <c r="G6" s="32">
        <f>Table1[[#This Row],[AUD Cost]]/100</f>
        <v>383.25</v>
      </c>
      <c r="H6" s="13">
        <v>0.6</v>
      </c>
      <c r="I6" s="13">
        <v>0</v>
      </c>
      <c r="J6" s="13">
        <v>0</v>
      </c>
      <c r="K6" s="11">
        <v>150</v>
      </c>
      <c r="L6" s="13">
        <v>5</v>
      </c>
      <c r="M6" s="14" t="s">
        <v>27</v>
      </c>
      <c r="N6" s="13">
        <v>0.25</v>
      </c>
      <c r="O6" s="13">
        <v>0.5</v>
      </c>
      <c r="P6" s="13">
        <v>2</v>
      </c>
      <c r="Q6" s="13">
        <v>0</v>
      </c>
      <c r="R6" s="14" t="s">
        <v>24</v>
      </c>
      <c r="S6" s="11">
        <v>20</v>
      </c>
      <c r="T6" s="10"/>
    </row>
    <row r="7" spans="2:20">
      <c r="B7" s="9" t="s">
        <v>2</v>
      </c>
      <c r="C7" s="11" t="s">
        <v>8</v>
      </c>
      <c r="D7" s="12">
        <v>77875</v>
      </c>
      <c r="E7" s="33">
        <f>Table1[[#This Row],[AUD Cost]]/1.75</f>
        <v>44500</v>
      </c>
      <c r="F7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0.80909090909090908</v>
      </c>
      <c r="G7" s="32">
        <f>Table1[[#This Row],[AUD Cost]]/100</f>
        <v>778.75</v>
      </c>
      <c r="H7" s="13">
        <v>0.8</v>
      </c>
      <c r="I7" s="13">
        <v>0.1</v>
      </c>
      <c r="J7" s="13">
        <v>0</v>
      </c>
      <c r="K7" s="11">
        <v>200</v>
      </c>
      <c r="L7" s="13">
        <v>6</v>
      </c>
      <c r="M7" s="14" t="s">
        <v>19</v>
      </c>
      <c r="N7" s="13">
        <v>0.5</v>
      </c>
      <c r="O7" s="13">
        <v>0</v>
      </c>
      <c r="P7" s="13">
        <v>2</v>
      </c>
      <c r="Q7" s="13">
        <v>0</v>
      </c>
      <c r="R7" s="14" t="s">
        <v>24</v>
      </c>
      <c r="S7" s="11">
        <v>16</v>
      </c>
      <c r="T7" s="35" t="s">
        <v>55</v>
      </c>
    </row>
    <row r="8" spans="2:20">
      <c r="B8" s="9" t="s">
        <v>2</v>
      </c>
      <c r="C8" t="s">
        <v>56</v>
      </c>
      <c r="D8" s="12">
        <v>64750</v>
      </c>
      <c r="E8" s="33">
        <f>Table1[[#This Row],[AUD Cost]]/1.75</f>
        <v>37000</v>
      </c>
      <c r="F8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0.79913606911447088</v>
      </c>
      <c r="G8" s="32">
        <f>Table1[[#This Row],[AUD Cost]]/100</f>
        <v>647.5</v>
      </c>
      <c r="H8" s="2">
        <v>0</v>
      </c>
      <c r="I8" s="2">
        <v>0.05</v>
      </c>
      <c r="J8" s="2">
        <v>0</v>
      </c>
      <c r="K8">
        <v>140</v>
      </c>
      <c r="L8" s="2">
        <v>6</v>
      </c>
      <c r="M8" s="1" t="s">
        <v>19</v>
      </c>
      <c r="N8" s="2">
        <v>0.2</v>
      </c>
      <c r="O8" s="2">
        <v>0</v>
      </c>
      <c r="P8" s="2">
        <v>2</v>
      </c>
      <c r="Q8" s="2">
        <v>1</v>
      </c>
      <c r="R8" s="1" t="s">
        <v>24</v>
      </c>
      <c r="S8">
        <v>17</v>
      </c>
      <c r="T8" s="10"/>
    </row>
    <row r="9" spans="2:20">
      <c r="B9" s="19" t="s">
        <v>2</v>
      </c>
      <c r="C9" s="23" t="s">
        <v>34</v>
      </c>
      <c r="D9" s="12">
        <v>87500</v>
      </c>
      <c r="E9" s="4">
        <f>Table1[[#This Row],[AUD Cost]]/1.75</f>
        <v>50000</v>
      </c>
      <c r="F9" s="28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0.92592592592592593</v>
      </c>
      <c r="G9" s="32">
        <f>Table1[[#This Row],[AUD Cost]]/100</f>
        <v>875</v>
      </c>
      <c r="H9" s="25">
        <v>1</v>
      </c>
      <c r="I9" s="25">
        <v>0.2</v>
      </c>
      <c r="J9" s="25">
        <v>0</v>
      </c>
      <c r="K9" s="23">
        <v>150</v>
      </c>
      <c r="L9" s="25">
        <v>5</v>
      </c>
      <c r="M9" s="26" t="s">
        <v>19</v>
      </c>
      <c r="N9" s="25">
        <v>0.25</v>
      </c>
      <c r="O9" s="25">
        <v>0</v>
      </c>
      <c r="P9" s="25">
        <v>2</v>
      </c>
      <c r="Q9" s="25">
        <v>2</v>
      </c>
      <c r="R9" s="26" t="s">
        <v>24</v>
      </c>
      <c r="S9" s="23">
        <v>15</v>
      </c>
      <c r="T9" s="20"/>
    </row>
    <row r="10" spans="2:20">
      <c r="B10" s="9" t="s">
        <v>2</v>
      </c>
      <c r="C10" s="11" t="s">
        <v>9</v>
      </c>
      <c r="D10" s="12">
        <v>140000</v>
      </c>
      <c r="E10" s="33">
        <f>Table1[[#This Row],[AUD Cost]]/1.75</f>
        <v>80000</v>
      </c>
      <c r="F10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1.0810810810810811</v>
      </c>
      <c r="G10" s="32">
        <f>Table1[[#This Row],[AUD Cost]]/100</f>
        <v>1400</v>
      </c>
      <c r="H10" s="13">
        <v>0.25</v>
      </c>
      <c r="I10" s="13">
        <v>0.3</v>
      </c>
      <c r="J10" s="13">
        <v>0</v>
      </c>
      <c r="K10" s="11">
        <v>255</v>
      </c>
      <c r="L10" s="13">
        <v>8</v>
      </c>
      <c r="M10" s="14" t="s">
        <v>19</v>
      </c>
      <c r="N10" s="13">
        <v>0.25</v>
      </c>
      <c r="O10" s="13">
        <v>0</v>
      </c>
      <c r="P10" s="13">
        <v>2</v>
      </c>
      <c r="Q10" s="13">
        <v>1</v>
      </c>
      <c r="R10" s="14" t="s">
        <v>24</v>
      </c>
      <c r="S10" s="11">
        <v>18</v>
      </c>
      <c r="T10" s="10"/>
    </row>
    <row r="11" spans="2:20">
      <c r="B11" s="9" t="s">
        <v>2</v>
      </c>
      <c r="C11" t="s">
        <v>37</v>
      </c>
      <c r="D11" s="12">
        <v>135800</v>
      </c>
      <c r="E11" s="33">
        <f>Table1[[#This Row],[AUD Cost]]/1.75</f>
        <v>77600</v>
      </c>
      <c r="F11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1.0865303836460374</v>
      </c>
      <c r="G11" s="32">
        <f>Table1[[#This Row],[AUD Cost]]/100</f>
        <v>1358</v>
      </c>
      <c r="H11" s="2">
        <v>0.25</v>
      </c>
      <c r="I11" s="2">
        <v>0.25</v>
      </c>
      <c r="J11" s="2">
        <v>0</v>
      </c>
      <c r="K11">
        <v>250</v>
      </c>
      <c r="L11" s="2">
        <v>7</v>
      </c>
      <c r="M11" s="1" t="s">
        <v>19</v>
      </c>
      <c r="N11" s="2">
        <v>0.23</v>
      </c>
      <c r="O11" s="2">
        <v>0</v>
      </c>
      <c r="P11" s="2">
        <v>2</v>
      </c>
      <c r="Q11" s="2">
        <v>1</v>
      </c>
      <c r="R11" s="1" t="s">
        <v>24</v>
      </c>
      <c r="S11">
        <v>18</v>
      </c>
      <c r="T11" s="10"/>
    </row>
    <row r="12" spans="2:20">
      <c r="B12" s="15" t="s">
        <v>13</v>
      </c>
      <c r="C12" s="11" t="s">
        <v>5</v>
      </c>
      <c r="D12" s="12">
        <v>90125</v>
      </c>
      <c r="E12" s="33">
        <f>Table1[[#This Row],[AUD Cost]]/1.75</f>
        <v>51500</v>
      </c>
      <c r="F12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1.1444444444444444</v>
      </c>
      <c r="G12" s="32">
        <f>Table1[[#This Row],[AUD Cost]]/100</f>
        <v>901.25</v>
      </c>
      <c r="H12" s="13">
        <v>0.8</v>
      </c>
      <c r="I12" s="13">
        <v>0</v>
      </c>
      <c r="J12" s="13">
        <v>0</v>
      </c>
      <c r="K12" s="11">
        <v>120</v>
      </c>
      <c r="L12" s="13">
        <v>3</v>
      </c>
      <c r="M12" s="14" t="s">
        <v>19</v>
      </c>
      <c r="N12" s="13">
        <v>0.25</v>
      </c>
      <c r="O12" s="13">
        <v>0</v>
      </c>
      <c r="P12" s="13">
        <v>4</v>
      </c>
      <c r="Q12" s="13">
        <v>1</v>
      </c>
      <c r="R12" s="14" t="s">
        <v>24</v>
      </c>
      <c r="S12" s="11">
        <v>0</v>
      </c>
      <c r="T12" s="16" t="s">
        <v>48</v>
      </c>
    </row>
    <row r="13" spans="2:20">
      <c r="B13" s="9" t="s">
        <v>2</v>
      </c>
      <c r="C13" s="11" t="s">
        <v>3</v>
      </c>
      <c r="D13" s="12">
        <v>119000</v>
      </c>
      <c r="E13" s="33">
        <f>Table1[[#This Row],[AUD Cost]]/1.75</f>
        <v>68000</v>
      </c>
      <c r="F13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1.152542372881356</v>
      </c>
      <c r="G13" s="32">
        <f>Table1[[#This Row],[AUD Cost]]/100</f>
        <v>1190</v>
      </c>
      <c r="H13" s="13">
        <v>0.8</v>
      </c>
      <c r="I13" s="13">
        <v>0.2</v>
      </c>
      <c r="J13" s="13">
        <v>0</v>
      </c>
      <c r="K13" s="11">
        <v>140</v>
      </c>
      <c r="L13" s="13">
        <v>4</v>
      </c>
      <c r="M13" s="14" t="s">
        <v>19</v>
      </c>
      <c r="N13" s="13">
        <v>0.75</v>
      </c>
      <c r="O13" s="13">
        <v>0</v>
      </c>
      <c r="P13" s="13">
        <v>4</v>
      </c>
      <c r="Q13" s="13">
        <v>2</v>
      </c>
      <c r="R13" s="14" t="s">
        <v>24</v>
      </c>
      <c r="S13" s="11">
        <v>13</v>
      </c>
      <c r="T13" s="35" t="s">
        <v>55</v>
      </c>
    </row>
    <row r="14" spans="2:20">
      <c r="B14" s="9" t="s">
        <v>2</v>
      </c>
      <c r="C14" s="11" t="s">
        <v>4</v>
      </c>
      <c r="D14" s="12">
        <v>122500</v>
      </c>
      <c r="E14" s="33">
        <f>Table1[[#This Row],[AUD Cost]]/1.75</f>
        <v>70000</v>
      </c>
      <c r="F14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1.1647254575707153</v>
      </c>
      <c r="G14" s="32">
        <f>Table1[[#This Row],[AUD Cost]]/100</f>
        <v>1225</v>
      </c>
      <c r="H14" s="13">
        <v>0.8</v>
      </c>
      <c r="I14" s="13">
        <v>0.17</v>
      </c>
      <c r="J14" s="13">
        <v>0</v>
      </c>
      <c r="K14" s="11">
        <v>148</v>
      </c>
      <c r="L14" s="13">
        <v>4</v>
      </c>
      <c r="M14" s="14" t="s">
        <v>19</v>
      </c>
      <c r="N14" s="13">
        <v>0.7</v>
      </c>
      <c r="O14" s="13">
        <v>0</v>
      </c>
      <c r="P14" s="13">
        <v>4</v>
      </c>
      <c r="Q14" s="13">
        <v>2</v>
      </c>
      <c r="R14" s="14" t="s">
        <v>24</v>
      </c>
      <c r="S14" s="11">
        <v>13</v>
      </c>
      <c r="T14" s="35" t="s">
        <v>55</v>
      </c>
    </row>
    <row r="15" spans="2:20">
      <c r="B15" s="9" t="s">
        <v>2</v>
      </c>
      <c r="C15" s="11" t="s">
        <v>7</v>
      </c>
      <c r="D15" s="12">
        <v>119000</v>
      </c>
      <c r="E15" s="33">
        <f>Table1[[#This Row],[AUD Cost]]/1.75</f>
        <v>68000</v>
      </c>
      <c r="F15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1.1867364746945899</v>
      </c>
      <c r="G15" s="32">
        <f>Table1[[#This Row],[AUD Cost]]/100</f>
        <v>1190</v>
      </c>
      <c r="H15" s="13">
        <v>0.8</v>
      </c>
      <c r="I15" s="13">
        <v>0.25</v>
      </c>
      <c r="J15" s="13">
        <v>0</v>
      </c>
      <c r="K15" s="11">
        <v>132</v>
      </c>
      <c r="L15" s="13">
        <v>4</v>
      </c>
      <c r="M15" s="14" t="s">
        <v>19</v>
      </c>
      <c r="N15" s="13">
        <v>0.6</v>
      </c>
      <c r="O15" s="13">
        <v>0</v>
      </c>
      <c r="P15" s="13">
        <v>4</v>
      </c>
      <c r="Q15" s="13">
        <v>2</v>
      </c>
      <c r="R15" s="14" t="s">
        <v>24</v>
      </c>
      <c r="S15" s="11">
        <v>13</v>
      </c>
      <c r="T15" s="35" t="s">
        <v>55</v>
      </c>
    </row>
    <row r="16" spans="2:20">
      <c r="B16" s="21" t="s">
        <v>13</v>
      </c>
      <c r="C16" s="23" t="s">
        <v>33</v>
      </c>
      <c r="D16" s="12">
        <v>87500</v>
      </c>
      <c r="E16" s="4">
        <f>Table1[[#This Row],[AUD Cost]]/1.75</f>
        <v>50000</v>
      </c>
      <c r="F16" s="28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1.1904761904761905</v>
      </c>
      <c r="G16" s="32">
        <f>Table1[[#This Row],[AUD Cost]]/100</f>
        <v>875</v>
      </c>
      <c r="H16" s="25">
        <v>1</v>
      </c>
      <c r="I16" s="25">
        <v>0</v>
      </c>
      <c r="J16" s="25">
        <v>0</v>
      </c>
      <c r="K16" s="23">
        <v>100</v>
      </c>
      <c r="L16" s="25">
        <v>2</v>
      </c>
      <c r="M16" s="26" t="s">
        <v>19</v>
      </c>
      <c r="N16" s="25">
        <v>0.25</v>
      </c>
      <c r="O16" s="25">
        <v>0</v>
      </c>
      <c r="P16" s="25">
        <v>3</v>
      </c>
      <c r="Q16" s="25">
        <v>2</v>
      </c>
      <c r="R16" s="26" t="s">
        <v>24</v>
      </c>
      <c r="S16" s="23">
        <v>0</v>
      </c>
      <c r="T16" s="22" t="s">
        <v>48</v>
      </c>
    </row>
    <row r="17" spans="2:20">
      <c r="B17" s="17" t="s">
        <v>14</v>
      </c>
      <c r="C17" s="23" t="s">
        <v>32</v>
      </c>
      <c r="D17" s="12">
        <v>140000</v>
      </c>
      <c r="E17" s="4">
        <f>Table1[[#This Row],[AUD Cost]]/1.75</f>
        <v>80000</v>
      </c>
      <c r="F17" s="28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1.7241379310344829</v>
      </c>
      <c r="G17" s="32">
        <f>Table1[[#This Row],[AUD Cost]]/100</f>
        <v>1400</v>
      </c>
      <c r="H17" s="25">
        <v>1</v>
      </c>
      <c r="I17" s="25">
        <v>0</v>
      </c>
      <c r="J17" s="25">
        <v>10</v>
      </c>
      <c r="K17" s="23">
        <v>100</v>
      </c>
      <c r="L17" s="25">
        <v>2</v>
      </c>
      <c r="M17" s="26" t="s">
        <v>19</v>
      </c>
      <c r="N17" s="25">
        <v>0.6</v>
      </c>
      <c r="O17" s="25">
        <v>0</v>
      </c>
      <c r="P17" s="25">
        <v>4</v>
      </c>
      <c r="Q17" s="25">
        <v>0</v>
      </c>
      <c r="R17" s="26" t="s">
        <v>24</v>
      </c>
      <c r="S17" s="23">
        <v>0</v>
      </c>
      <c r="T17" s="18" t="s">
        <v>51</v>
      </c>
    </row>
    <row r="18" spans="2:20">
      <c r="B18" s="9" t="s">
        <v>2</v>
      </c>
      <c r="C18" t="s">
        <v>38</v>
      </c>
      <c r="D18" s="12">
        <v>151550</v>
      </c>
      <c r="E18" s="33">
        <f>Table1[[#This Row],[AUD Cost]]/1.75</f>
        <v>86600</v>
      </c>
      <c r="F18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1.8425531914893616</v>
      </c>
      <c r="G18" s="32">
        <f>Table1[[#This Row],[AUD Cost]]/100</f>
        <v>1515.5</v>
      </c>
      <c r="H18" s="2">
        <v>0.8</v>
      </c>
      <c r="I18" s="2">
        <v>0.25</v>
      </c>
      <c r="J18" s="2">
        <v>0</v>
      </c>
      <c r="K18">
        <v>110</v>
      </c>
      <c r="L18" s="2">
        <v>2.5</v>
      </c>
      <c r="M18" s="1" t="s">
        <v>19</v>
      </c>
      <c r="N18" s="2">
        <v>1</v>
      </c>
      <c r="O18" s="2">
        <v>0</v>
      </c>
      <c r="P18" s="2">
        <v>2</v>
      </c>
      <c r="Q18" s="2">
        <v>2</v>
      </c>
      <c r="R18" s="1" t="s">
        <v>24</v>
      </c>
      <c r="S18">
        <v>10</v>
      </c>
      <c r="T18" s="10" t="s">
        <v>57</v>
      </c>
    </row>
    <row r="19" spans="2:20">
      <c r="B19" s="7" t="s">
        <v>14</v>
      </c>
      <c r="C19" s="11" t="s">
        <v>6</v>
      </c>
      <c r="D19" s="12">
        <v>164500</v>
      </c>
      <c r="E19" s="33">
        <f>Table1[[#This Row],[AUD Cost]]/1.75</f>
        <v>94000</v>
      </c>
      <c r="F19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1.88</v>
      </c>
      <c r="G19" s="32">
        <f>Table1[[#This Row],[AUD Cost]]/100</f>
        <v>1645</v>
      </c>
      <c r="H19" s="13">
        <v>0.8</v>
      </c>
      <c r="I19" s="13">
        <v>0</v>
      </c>
      <c r="J19" s="13">
        <v>12</v>
      </c>
      <c r="K19" s="11">
        <v>110</v>
      </c>
      <c r="L19" s="13">
        <v>2</v>
      </c>
      <c r="M19" s="14" t="s">
        <v>19</v>
      </c>
      <c r="N19" s="13">
        <v>0.5</v>
      </c>
      <c r="O19" s="13">
        <v>0</v>
      </c>
      <c r="P19" s="13">
        <v>4</v>
      </c>
      <c r="Q19" s="13">
        <v>0</v>
      </c>
      <c r="R19" s="14" t="s">
        <v>24</v>
      </c>
      <c r="S19" s="11">
        <v>0</v>
      </c>
      <c r="T19" s="8" t="s">
        <v>50</v>
      </c>
    </row>
    <row r="20" spans="2:20">
      <c r="B20" s="9" t="s">
        <v>2</v>
      </c>
      <c r="C20" s="11" t="s">
        <v>11</v>
      </c>
      <c r="D20" s="12">
        <v>173250</v>
      </c>
      <c r="E20" s="33">
        <f>Table1[[#This Row],[AUD Cost]]/1.75</f>
        <v>99000</v>
      </c>
      <c r="F20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1.9603960396039606</v>
      </c>
      <c r="G20" s="32">
        <f>Table1[[#This Row],[AUD Cost]]/100</f>
        <v>1732.5</v>
      </c>
      <c r="H20" s="13">
        <v>0.8</v>
      </c>
      <c r="I20" s="13">
        <v>0.35</v>
      </c>
      <c r="J20" s="13">
        <v>0</v>
      </c>
      <c r="K20" s="11">
        <v>120</v>
      </c>
      <c r="L20" s="13">
        <v>3</v>
      </c>
      <c r="M20" s="14" t="s">
        <v>19</v>
      </c>
      <c r="N20" s="13">
        <v>1</v>
      </c>
      <c r="O20" s="13">
        <v>0</v>
      </c>
      <c r="P20" s="13">
        <v>2</v>
      </c>
      <c r="Q20" s="13">
        <v>2</v>
      </c>
      <c r="R20" s="14" t="s">
        <v>24</v>
      </c>
      <c r="S20" s="11">
        <v>10</v>
      </c>
      <c r="T20" s="10" t="s">
        <v>49</v>
      </c>
    </row>
    <row r="21" spans="2:20">
      <c r="B21" s="19" t="s">
        <v>2</v>
      </c>
      <c r="C21" s="3" t="s">
        <v>44</v>
      </c>
      <c r="D21" s="24">
        <v>262500</v>
      </c>
      <c r="E21" s="4">
        <f>Table1[[#This Row],[AUD Cost]]/1.75</f>
        <v>150000</v>
      </c>
      <c r="F21" s="28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2.2727272727272729</v>
      </c>
      <c r="G21" s="34">
        <f>Table1[[#This Row],[AUD Cost]]/100</f>
        <v>2625</v>
      </c>
      <c r="H21" s="5">
        <v>1</v>
      </c>
      <c r="I21" s="5">
        <v>0.9</v>
      </c>
      <c r="J21" s="5">
        <v>0</v>
      </c>
      <c r="K21" s="3">
        <v>100</v>
      </c>
      <c r="L21" s="5">
        <v>4</v>
      </c>
      <c r="M21" s="6" t="s">
        <v>19</v>
      </c>
      <c r="N21" s="5">
        <v>0.25</v>
      </c>
      <c r="O21" s="5">
        <v>0</v>
      </c>
      <c r="P21" s="5">
        <v>4</v>
      </c>
      <c r="Q21" s="5">
        <v>4</v>
      </c>
      <c r="R21" s="6" t="s">
        <v>24</v>
      </c>
      <c r="S21" s="3">
        <v>13</v>
      </c>
      <c r="T21" s="10"/>
    </row>
    <row r="22" spans="2:20">
      <c r="B22" s="9" t="s">
        <v>2</v>
      </c>
      <c r="C22" s="11" t="s">
        <v>12</v>
      </c>
      <c r="D22" s="12">
        <v>271250</v>
      </c>
      <c r="E22" s="33">
        <f>Table1[[#This Row],[AUD Cost]]/1.75</f>
        <v>155000</v>
      </c>
      <c r="F22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2.3273273273273274</v>
      </c>
      <c r="G22" s="32">
        <f>Table1[[#This Row],[AUD Cost]]/100</f>
        <v>2712.5</v>
      </c>
      <c r="H22" s="13">
        <v>0.8</v>
      </c>
      <c r="I22" s="13">
        <v>0.9</v>
      </c>
      <c r="J22" s="13">
        <v>0</v>
      </c>
      <c r="K22" s="11">
        <v>100</v>
      </c>
      <c r="L22" s="13">
        <v>4</v>
      </c>
      <c r="M22" s="14" t="s">
        <v>19</v>
      </c>
      <c r="N22" s="13">
        <v>0.4</v>
      </c>
      <c r="O22" s="13">
        <v>0</v>
      </c>
      <c r="P22" s="13">
        <v>4</v>
      </c>
      <c r="Q22" s="13">
        <v>4</v>
      </c>
      <c r="R22" s="14" t="s">
        <v>24</v>
      </c>
      <c r="S22" s="11">
        <v>10</v>
      </c>
      <c r="T22" s="10"/>
    </row>
    <row r="23" spans="2:20">
      <c r="B23" s="19" t="s">
        <v>2</v>
      </c>
      <c r="C23" s="3" t="s">
        <v>35</v>
      </c>
      <c r="D23" s="24">
        <v>350000</v>
      </c>
      <c r="E23" s="4">
        <f>Table1[[#This Row],[AUD Cost]]/1.75</f>
        <v>200000</v>
      </c>
      <c r="F23" s="28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2.666666666666667</v>
      </c>
      <c r="G23" s="34">
        <f>Table1[[#This Row],[AUD Cost]]/100</f>
        <v>3500</v>
      </c>
      <c r="H23" s="5">
        <v>1</v>
      </c>
      <c r="I23" s="5">
        <v>0.3</v>
      </c>
      <c r="J23" s="5">
        <v>0</v>
      </c>
      <c r="K23" s="3">
        <v>260</v>
      </c>
      <c r="L23" s="5">
        <v>10</v>
      </c>
      <c r="M23" s="6" t="s">
        <v>30</v>
      </c>
      <c r="N23" s="5">
        <v>1</v>
      </c>
      <c r="O23" s="5">
        <v>0</v>
      </c>
      <c r="P23" s="5">
        <v>2</v>
      </c>
      <c r="Q23" s="5">
        <v>0</v>
      </c>
      <c r="R23" s="6" t="s">
        <v>31</v>
      </c>
      <c r="S23" s="3">
        <v>0</v>
      </c>
      <c r="T23" s="20" t="s">
        <v>54</v>
      </c>
    </row>
    <row r="24" spans="2:20">
      <c r="B24" s="15" t="s">
        <v>13</v>
      </c>
      <c r="C24" t="s">
        <v>40</v>
      </c>
      <c r="D24" s="12">
        <v>225960</v>
      </c>
      <c r="E24" s="33">
        <f>Table1[[#This Row],[AUD Cost]]/1.75</f>
        <v>129120</v>
      </c>
      <c r="F24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2.0080870917573872</v>
      </c>
      <c r="G24" s="32">
        <f>Table1[[#This Row],[AUD Cost]]/100</f>
        <v>2259.6</v>
      </c>
      <c r="H24" s="2">
        <v>0.8</v>
      </c>
      <c r="I24" s="2">
        <v>0</v>
      </c>
      <c r="J24" s="2">
        <v>0</v>
      </c>
      <c r="K24">
        <v>100</v>
      </c>
      <c r="L24" s="2">
        <v>1.5</v>
      </c>
      <c r="M24" s="1" t="s">
        <v>19</v>
      </c>
      <c r="N24" s="2">
        <v>0.2</v>
      </c>
      <c r="O24" s="2">
        <v>0</v>
      </c>
      <c r="P24" s="2">
        <v>4</v>
      </c>
      <c r="Q24" s="2">
        <v>6</v>
      </c>
      <c r="R24" s="1" t="s">
        <v>24</v>
      </c>
      <c r="S24">
        <v>0</v>
      </c>
      <c r="T24" s="16" t="s">
        <v>59</v>
      </c>
    </row>
    <row r="25" spans="2:20">
      <c r="B25" s="15" t="s">
        <v>13</v>
      </c>
      <c r="C25" t="s">
        <v>41</v>
      </c>
      <c r="D25" s="12">
        <v>94500</v>
      </c>
      <c r="E25" s="33">
        <f>Table1[[#This Row],[AUD Cost]]/1.75</f>
        <v>54000</v>
      </c>
      <c r="F25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1.125</v>
      </c>
      <c r="G25" s="32">
        <f>Table1[[#This Row],[AUD Cost]]/100</f>
        <v>945</v>
      </c>
      <c r="H25" s="2">
        <v>0.8</v>
      </c>
      <c r="I25" s="2">
        <v>0</v>
      </c>
      <c r="J25" s="2">
        <v>0</v>
      </c>
      <c r="K25">
        <v>180</v>
      </c>
      <c r="L25" s="2">
        <v>4</v>
      </c>
      <c r="M25" s="1" t="s">
        <v>19</v>
      </c>
      <c r="N25" s="2">
        <v>0.5</v>
      </c>
      <c r="O25" s="2">
        <v>0</v>
      </c>
      <c r="P25" s="2">
        <v>2</v>
      </c>
      <c r="Q25" s="2">
        <v>0</v>
      </c>
      <c r="R25" s="1" t="s">
        <v>24</v>
      </c>
      <c r="S25">
        <v>0</v>
      </c>
      <c r="T25" s="16" t="s">
        <v>60</v>
      </c>
    </row>
    <row r="26" spans="2:20">
      <c r="B26" s="7" t="s">
        <v>14</v>
      </c>
      <c r="C26" s="38" t="s">
        <v>61</v>
      </c>
      <c r="D26" s="12">
        <v>180000</v>
      </c>
      <c r="E26" s="33">
        <f>Table1[[#This Row],[AUD Cost]]/1.75</f>
        <v>102857.14285714286</v>
      </c>
      <c r="F26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1.9047619047619049</v>
      </c>
      <c r="G26" s="32">
        <f>Table1[[#This Row],[AUD Cost]]/100</f>
        <v>1800</v>
      </c>
      <c r="H26" s="2">
        <v>0.8</v>
      </c>
      <c r="I26" s="2">
        <v>0</v>
      </c>
      <c r="J26" s="2">
        <v>15</v>
      </c>
      <c r="K26">
        <v>120</v>
      </c>
      <c r="L26" s="2">
        <v>3</v>
      </c>
      <c r="M26" s="1" t="s">
        <v>19</v>
      </c>
      <c r="N26" s="2">
        <v>0</v>
      </c>
      <c r="O26" s="2">
        <v>0</v>
      </c>
      <c r="P26" s="2">
        <v>4</v>
      </c>
      <c r="Q26" s="2">
        <v>0</v>
      </c>
      <c r="R26" s="1" t="s">
        <v>24</v>
      </c>
      <c r="S26">
        <v>0</v>
      </c>
      <c r="T26" s="36" t="s">
        <v>70</v>
      </c>
    </row>
    <row r="27" spans="2:20">
      <c r="B27" s="7" t="s">
        <v>14</v>
      </c>
      <c r="C27" s="38" t="s">
        <v>71</v>
      </c>
      <c r="D27" s="12">
        <v>150000</v>
      </c>
      <c r="E27" s="33">
        <f>Table1[[#This Row],[AUD Cost]]/1.75</f>
        <v>85714.28571428571</v>
      </c>
      <c r="F27" s="27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2.0855057351407713</v>
      </c>
      <c r="G27" s="32">
        <f>Table1[[#This Row],[AUD Cost]]/100</f>
        <v>1500</v>
      </c>
      <c r="H27" s="2">
        <v>0.8</v>
      </c>
      <c r="I27" s="2">
        <v>0</v>
      </c>
      <c r="J27" s="2">
        <v>6</v>
      </c>
      <c r="K27">
        <v>100</v>
      </c>
      <c r="L27" s="2">
        <v>2.5</v>
      </c>
      <c r="M27" s="1" t="s">
        <v>19</v>
      </c>
      <c r="N27" s="2">
        <v>0.9</v>
      </c>
      <c r="O27" s="2">
        <v>0</v>
      </c>
      <c r="P27" s="2">
        <v>3</v>
      </c>
      <c r="Q27" s="2">
        <v>0</v>
      </c>
      <c r="R27" s="1" t="s">
        <v>24</v>
      </c>
      <c r="S27">
        <v>0</v>
      </c>
      <c r="T27" s="36" t="s">
        <v>51</v>
      </c>
    </row>
    <row r="28" spans="2:20">
      <c r="D28" s="12"/>
      <c r="E28" s="33">
        <f>Table1[[#This Row],[AUD Cost]]/1.75</f>
        <v>0</v>
      </c>
      <c r="F28" s="27" t="e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#DIV/0!</v>
      </c>
      <c r="G28" s="32">
        <f>Table1[[#This Row],[AUD Cost]]/100</f>
        <v>0</v>
      </c>
      <c r="H28" s="2"/>
      <c r="I28" s="2"/>
      <c r="J28" s="2"/>
      <c r="L28" s="2"/>
      <c r="M28" s="1"/>
      <c r="N28" s="2"/>
      <c r="O28" s="2"/>
      <c r="P28" s="2"/>
      <c r="Q28" s="2"/>
      <c r="R28" s="1"/>
      <c r="T28" s="1"/>
    </row>
    <row r="29" spans="2:20">
      <c r="D29" s="12"/>
      <c r="E29" s="33">
        <f>Table1[[#This Row],[AUD Cost]]/1.75</f>
        <v>0</v>
      </c>
      <c r="F29" s="27" t="e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#DIV/0!</v>
      </c>
      <c r="G29" s="32">
        <f>Table1[[#This Row],[AUD Cost]]/100</f>
        <v>0</v>
      </c>
      <c r="H29" s="2"/>
      <c r="I29" s="2"/>
      <c r="J29" s="2"/>
      <c r="L29" s="2"/>
      <c r="M29" s="1"/>
      <c r="N29" s="2"/>
      <c r="O29" s="2"/>
      <c r="P29" s="2"/>
      <c r="Q29" s="2"/>
      <c r="R29" s="1"/>
      <c r="T29" s="1"/>
    </row>
    <row r="30" spans="2:20">
      <c r="D30" s="12"/>
      <c r="E30" s="33">
        <f>Table1[[#This Row],[AUD Cost]]/1.75</f>
        <v>0</v>
      </c>
      <c r="F30" s="27" t="e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#DIV/0!</v>
      </c>
      <c r="G30" s="32">
        <f>Table1[[#This Row],[AUD Cost]]/100</f>
        <v>0</v>
      </c>
      <c r="H30" s="2"/>
      <c r="I30" s="2"/>
      <c r="J30" s="2"/>
      <c r="L30" s="2"/>
      <c r="M30" s="1"/>
      <c r="N30" s="2"/>
      <c r="O30" s="2"/>
      <c r="P30" s="2"/>
      <c r="Q30" s="2"/>
      <c r="R30" s="1"/>
      <c r="T30" s="1"/>
    </row>
    <row r="31" spans="2:20">
      <c r="D31" s="12"/>
      <c r="E31" s="33">
        <f>Table1[[#This Row],[AUD Cost]]/1.75</f>
        <v>0</v>
      </c>
      <c r="F31" s="27" t="e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#DIV/0!</v>
      </c>
      <c r="G31" s="32">
        <f>Table1[[#This Row],[AUD Cost]]/100</f>
        <v>0</v>
      </c>
      <c r="H31" s="2"/>
      <c r="I31" s="2"/>
      <c r="J31" s="2"/>
      <c r="L31" s="2"/>
      <c r="M31" s="1"/>
      <c r="N31" s="2"/>
      <c r="O31" s="2"/>
      <c r="P31" s="2"/>
      <c r="Q31" s="2"/>
      <c r="R31" s="1"/>
      <c r="T31" s="1"/>
    </row>
    <row r="32" spans="2:20">
      <c r="D32" s="12"/>
      <c r="E32" s="33">
        <f>Table1[[#This Row],[AUD Cost]]/1.75</f>
        <v>0</v>
      </c>
      <c r="F32" s="27" t="e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#DIV/0!</v>
      </c>
      <c r="G32" s="32">
        <f>Table1[[#This Row],[AUD Cost]]/100</f>
        <v>0</v>
      </c>
      <c r="H32" s="2"/>
      <c r="I32" s="2"/>
      <c r="J32" s="2"/>
      <c r="L32" s="2"/>
      <c r="M32" s="1"/>
      <c r="N32" s="2"/>
      <c r="O32" s="2"/>
      <c r="P32" s="2"/>
      <c r="Q32" s="2"/>
      <c r="R32" s="1"/>
      <c r="T32" s="1"/>
    </row>
    <row r="33" spans="2:20">
      <c r="D33" s="12"/>
      <c r="E33" s="33">
        <f>Table1[[#This Row],[AUD Cost]]/1.75</f>
        <v>0</v>
      </c>
      <c r="F33" s="27" t="e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#DIV/0!</v>
      </c>
      <c r="G33" s="32">
        <f>Table1[[#This Row],[AUD Cost]]/100</f>
        <v>0</v>
      </c>
      <c r="H33" s="2"/>
      <c r="I33" s="2"/>
      <c r="J33" s="2"/>
      <c r="L33" s="2"/>
      <c r="M33" s="1"/>
      <c r="N33" s="2"/>
      <c r="O33" s="2"/>
      <c r="P33" s="2"/>
      <c r="Q33" s="2"/>
      <c r="R33" s="1"/>
      <c r="T33" s="1"/>
    </row>
    <row r="34" spans="2:20">
      <c r="D34" s="12"/>
      <c r="E34" s="33">
        <f>Table1[[#This Row],[AUD Cost]]/1.75</f>
        <v>0</v>
      </c>
      <c r="F34" s="27" t="e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#DIV/0!</v>
      </c>
      <c r="G34" s="32">
        <f>Table1[[#This Row],[AUD Cost]]/100</f>
        <v>0</v>
      </c>
      <c r="H34" s="2"/>
      <c r="I34" s="2"/>
      <c r="J34" s="2"/>
      <c r="L34" s="2"/>
      <c r="M34" s="1"/>
      <c r="N34" s="2"/>
      <c r="O34" s="2"/>
      <c r="P34" s="2"/>
      <c r="Q34" s="2"/>
      <c r="R34" s="1"/>
      <c r="T34" s="1"/>
    </row>
    <row r="35" spans="2:20">
      <c r="D35" s="12"/>
      <c r="E35" s="33">
        <f>Table1[[#This Row],[AUD Cost]]/1.75</f>
        <v>0</v>
      </c>
      <c r="F35" s="27" t="e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#DIV/0!</v>
      </c>
      <c r="G35" s="32">
        <f>Table1[[#This Row],[AUD Cost]]/100</f>
        <v>0</v>
      </c>
      <c r="H35" s="2"/>
      <c r="I35" s="2"/>
      <c r="J35" s="2"/>
      <c r="L35" s="2"/>
      <c r="M35" s="1"/>
      <c r="N35" s="2"/>
      <c r="O35" s="2"/>
      <c r="P35" s="2"/>
      <c r="Q35" s="2"/>
      <c r="R35" s="1"/>
      <c r="T35" s="1"/>
    </row>
    <row r="36" spans="2:20">
      <c r="D36" s="12"/>
      <c r="E36" s="33">
        <f>Table1[[#This Row],[AUD Cost]]/1.75</f>
        <v>0</v>
      </c>
      <c r="F36" s="27" t="e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#DIV/0!</v>
      </c>
      <c r="G36" s="32">
        <f>Table1[[#This Row],[AUD Cost]]/100</f>
        <v>0</v>
      </c>
      <c r="H36" s="2"/>
      <c r="I36" s="2"/>
      <c r="J36" s="2"/>
      <c r="L36" s="2"/>
      <c r="M36" s="1"/>
      <c r="N36" s="2"/>
      <c r="O36" s="2"/>
      <c r="P36" s="2"/>
      <c r="Q36" s="2"/>
      <c r="R36" s="1"/>
      <c r="T36" s="1"/>
    </row>
    <row r="37" spans="2:20">
      <c r="D37" s="12"/>
      <c r="E37" s="33">
        <f>Table1[[#This Row],[AUD Cost]]/1.75</f>
        <v>0</v>
      </c>
      <c r="F37" s="27" t="e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#DIV/0!</v>
      </c>
      <c r="G37" s="32">
        <f>Table1[[#This Row],[AUD Cost]]/100</f>
        <v>0</v>
      </c>
      <c r="H37" s="2"/>
      <c r="I37" s="2"/>
      <c r="J37" s="2"/>
      <c r="L37" s="2"/>
      <c r="M37" s="1"/>
      <c r="N37" s="2"/>
      <c r="O37" s="2"/>
      <c r="P37" s="2"/>
      <c r="Q37" s="2"/>
      <c r="R37" s="1"/>
      <c r="T37" s="1"/>
    </row>
    <row r="38" spans="2:20">
      <c r="D38" s="12"/>
      <c r="E38" s="33">
        <f>Table1[[#This Row],[AUD Cost]]/1.75</f>
        <v>0</v>
      </c>
      <c r="F38" s="27" t="e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#DIV/0!</v>
      </c>
      <c r="G38" s="32">
        <f>Table1[[#This Row],[AUD Cost]]/100</f>
        <v>0</v>
      </c>
      <c r="H38" s="2"/>
      <c r="I38" s="2"/>
      <c r="J38" s="2"/>
      <c r="L38" s="2"/>
      <c r="M38" s="1"/>
      <c r="N38" s="2"/>
      <c r="O38" s="2"/>
      <c r="P38" s="2"/>
      <c r="Q38" s="2"/>
      <c r="R38" s="1"/>
      <c r="T38" s="1"/>
    </row>
    <row r="39" spans="2:20">
      <c r="B39" s="29"/>
      <c r="C39" s="29"/>
      <c r="D39" s="12"/>
      <c r="E39" s="33">
        <f>Table1[[#This Row],[AUD Cost]]/1.75</f>
        <v>0</v>
      </c>
      <c r="F39" s="27" t="e">
        <f>(Table1[[#This Row],[XML Cost]]/((Table1[[#This Row],[Speed]]*Weights!$C$2)+(Table1[[#This Row],[Armour]]*Weights!$C$3)+(Table1[[#This Row],[Water]]*Weights!$C$4)+(Table1[[#This Row],[Acceleration]]*Weights!$C$5)+(Table1[[#This Row],[Offroad Mod]]*Weights!$C$6)+(Table1[[#This Row],[T. Seats]]*Weights!$C$8)+(Table1[[#This Row],[P. Seats]]*Weights!$C$9)+(Table1[[#This Row],[Traffic Mod]]*Weights!$C$7))/100)</f>
        <v>#DIV/0!</v>
      </c>
      <c r="G39" s="32">
        <f>Table1[[#This Row],[AUD Cost]]/100</f>
        <v>0</v>
      </c>
      <c r="H39" s="30"/>
      <c r="I39" s="30"/>
      <c r="J39" s="30"/>
      <c r="K39" s="29"/>
      <c r="L39" s="30"/>
      <c r="M39" s="31"/>
      <c r="N39" s="30"/>
      <c r="O39" s="30"/>
      <c r="P39" s="30"/>
      <c r="Q39" s="30"/>
      <c r="R39" s="31"/>
      <c r="S39" s="29"/>
      <c r="T39" s="3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B2:C9"/>
  <sheetViews>
    <sheetView workbookViewId="0">
      <selection activeCell="B32" sqref="B32"/>
    </sheetView>
  </sheetViews>
  <sheetFormatPr defaultRowHeight="15"/>
  <cols>
    <col min="2" max="2" width="18.42578125" customWidth="1"/>
  </cols>
  <sheetData>
    <row r="2" spans="2:3">
      <c r="B2" t="s">
        <v>47</v>
      </c>
      <c r="C2">
        <v>2</v>
      </c>
    </row>
    <row r="3" spans="2:3">
      <c r="B3" t="s">
        <v>16</v>
      </c>
      <c r="C3">
        <v>100</v>
      </c>
    </row>
    <row r="4" spans="2:3">
      <c r="B4" t="s">
        <v>25</v>
      </c>
      <c r="C4">
        <v>10</v>
      </c>
    </row>
    <row r="5" spans="2:3">
      <c r="B5" t="s">
        <v>17</v>
      </c>
      <c r="C5">
        <v>10</v>
      </c>
    </row>
    <row r="6" spans="2:3">
      <c r="B6" t="s">
        <v>21</v>
      </c>
      <c r="C6">
        <v>40</v>
      </c>
    </row>
    <row r="7" spans="2:3">
      <c r="B7" t="s">
        <v>20</v>
      </c>
      <c r="C7">
        <v>10</v>
      </c>
    </row>
    <row r="8" spans="2:3">
      <c r="B8" t="s">
        <v>29</v>
      </c>
      <c r="C8">
        <v>30</v>
      </c>
    </row>
    <row r="9" spans="2:3">
      <c r="B9" t="s">
        <v>28</v>
      </c>
      <c r="C9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B9"/>
  <sheetViews>
    <sheetView workbookViewId="0">
      <selection activeCell="F19" sqref="F19"/>
    </sheetView>
  </sheetViews>
  <sheetFormatPr defaultRowHeight="15"/>
  <sheetData>
    <row r="2" spans="2:2">
      <c r="B2" s="37" t="s">
        <v>62</v>
      </c>
    </row>
    <row r="3" spans="2:2">
      <c r="B3" t="s">
        <v>63</v>
      </c>
    </row>
    <row r="4" spans="2:2">
      <c r="B4" t="s">
        <v>69</v>
      </c>
    </row>
    <row r="5" spans="2:2">
      <c r="B5" t="s">
        <v>68</v>
      </c>
    </row>
    <row r="6" spans="2:2">
      <c r="B6" t="s">
        <v>67</v>
      </c>
    </row>
    <row r="7" spans="2:2">
      <c r="B7" t="s">
        <v>66</v>
      </c>
    </row>
    <row r="8" spans="2:2">
      <c r="B8" t="s">
        <v>65</v>
      </c>
    </row>
    <row r="9" spans="2:2">
      <c r="B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Vehicles</vt:lpstr>
      <vt:lpstr>Weights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2025-12-20T04:35:17Z</dcterms:modified>
</cp:coreProperties>
</file>